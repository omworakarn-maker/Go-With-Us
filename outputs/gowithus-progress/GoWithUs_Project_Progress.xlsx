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f166d3b70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แผนการดำเนินงาน" sheetId="1" r:id="Rb9a1e5b2a04c4f81"/>
    <x:sheet xmlns:r="http://schemas.openxmlformats.org/officeDocument/2006/relationships" name="แผนการทำงาน" sheetId="2" r:id="Rb5e68fd9c17c410c"/>
    <x:sheet xmlns:r="http://schemas.openxmlformats.org/officeDocument/2006/relationships" name="ใบที่ 1" sheetId="3" r:id="Rf5aae4aebb6740e4"/>
    <x:sheet xmlns:r="http://schemas.openxmlformats.org/officeDocument/2006/relationships" name="ใบที่ 2" sheetId="4" r:id="Rcca74c736cc94e07"/>
    <x:sheet xmlns:r="http://schemas.openxmlformats.org/officeDocument/2006/relationships" name="ใบที่ 3" sheetId="5" r:id="R52c5814c50b943a8"/>
    <x:sheet xmlns:r="http://schemas.openxmlformats.org/officeDocument/2006/relationships" name="ใบที่ 4" sheetId="6" r:id="Rf48a8fd777b3442a"/>
    <x:sheet xmlns:r="http://schemas.openxmlformats.org/officeDocument/2006/relationships" name="ใบที่ 5" sheetId="7" r:id="R2df89a04ca9343a7"/>
    <x:sheet xmlns:r="http://schemas.openxmlformats.org/officeDocument/2006/relationships" name="ใบที่ 6" sheetId="8" r:id="R47c59d46131b45ec"/>
    <x:sheet xmlns:r="http://schemas.openxmlformats.org/officeDocument/2006/relationships" name="ใบที่ 7" sheetId="9" r:id="Rac8b9e8dfffd4f07"/>
    <x:sheet xmlns:r="http://schemas.openxmlformats.org/officeDocument/2006/relationships" name="ใบที่ 8" sheetId="10" r:id="R16e8b6e2efca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2937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</x:fills>
  <x:borders count="1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double">
        <x:color rgb="FF548235"/>
      </x:bottom>
    </x:border>
    <x:border>
      <x:left style="medium">
        <x:color rgb="FF548235"/>
      </x:left>
      <x:top style="medium">
        <x:color rgb="FF548235"/>
      </x:top>
      <x:bottom style="medium">
        <x:color rgb="FF548235"/>
      </x:bottom>
    </x:border>
    <x:border>
      <x:top style="medium">
        <x:color rgb="FF548235"/>
      </x:top>
      <x:bottom style="medium">
        <x:color rgb="FF548235"/>
      </x:bottom>
    </x:border>
    <x:border>
      <x:right style="medium">
        <x:color rgb="FF548235"/>
      </x:right>
      <x:top style="medium">
        <x:color rgb="FF548235"/>
      </x:top>
      <x:bottom style="medium">
        <x:color rgb="FF548235"/>
      </x:bottom>
    </x:border>
    <x:border>
      <x:left style="medium">
        <x:color rgb="FFBF9000"/>
      </x:left>
      <x:top style="medium">
        <x:color rgb="FFBF9000"/>
      </x:top>
      <x:bottom style="medium">
        <x:color rgb="FFBF9000"/>
      </x:bottom>
    </x:border>
    <x:border>
      <x:top style="medium">
        <x:color rgb="FFBF9000"/>
      </x:top>
      <x:bottom style="medium">
        <x:color rgb="FFBF9000"/>
      </x:bottom>
    </x:border>
    <x:border>
      <x:right style="medium">
        <x:color rgb="FFBF9000"/>
      </x:right>
      <x:top style="medium">
        <x:color rgb="FFBF9000"/>
      </x:top>
      <x:bottom style="medium">
        <x:color rgb="FFBF9000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horizontal="center" vertical="center" wrapText="1"/>
    </x:xf>
    <x:xf numFmtId="200" fontId="0" fillId="0" borderId="3" xfId="0" applyNumberFormat="1" applyFont="1" applyFill="1" applyBorder="1" applyAlignment="1">
      <x:alignment horizontal="center" vertical="center" wrapText="1"/>
    </x:xf>
    <x:xf numFmtId="200" fontId="0" fillId="0" borderId="4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5" xfId="0" applyNumberFormat="1" applyFont="1" applyFill="1" applyBorder="1" applyAlignment="1">
      <x:alignment horizontal="center"/>
    </x:xf>
    <x:xf numFmtId="200" fontId="5" fillId="6" borderId="5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center" vertical="center" wrapText="1"/>
    </x:xf>
    <x:xf numFmtId="201" fontId="0" fillId="0" borderId="3" xfId="0" applyNumberFormat="1" applyFont="1" applyFill="1" applyBorder="1" applyAlignment="1">
      <x:alignment horizontal="center" vertical="center" wrapText="1"/>
    </x:xf>
    <x:xf numFmtId="201" fontId="0" fillId="0" borderId="4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6" xfId="0" applyNumberFormat="1" applyFont="1" applyFill="1" applyBorder="1" applyAlignment="1">
      <x:alignment horizontal="center"/>
    </x:xf>
    <x:xf numFmtId="0" fontId="5" fillId="6" borderId="7" xfId="0" applyNumberFormat="1" applyFont="1" applyFill="1" applyBorder="1" applyAlignment="1">
      <x:alignment horizontal="center"/>
    </x:xf>
    <x:xf numFmtId="0" fontId="5" fillId="6" borderId="8" xfId="0" applyNumberFormat="1" applyFont="1" applyFill="1" applyBorder="1" applyAlignment="1">
      <x:alignment horizontal="center"/>
    </x:xf>
    <x:xf numFmtId="0" fontId="5" fillId="6" borderId="6" xfId="0" applyNumberFormat="1" applyFont="1" applyFill="1" applyBorder="1" applyAlignment="1">
      <x:alignment horizontal="center" vertic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5" fillId="6" borderId="8" xfId="0" applyNumberFormat="1" applyFont="1" applyFill="1" applyBorder="1" applyAlignment="1">
      <x:alignment horizontal="center" vertical="center"/>
    </x:xf>
    <x:xf numFmtId="200" fontId="5" fillId="6" borderId="7" xfId="0" applyNumberFormat="1" applyFont="1" applyFill="1" applyBorder="1" applyAlignment="1">
      <x:alignment horizontal="center" vertical="center"/>
    </x:xf>
    <x:xf numFmtId="200" fontId="5" fillId="6" borderId="8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9" xfId="0" applyNumberFormat="1" applyFont="1" applyFill="1" applyBorder="1" applyAlignment="1">
      <x:alignment horizontal="center"/>
    </x:xf>
    <x:xf numFmtId="0" fontId="5" fillId="4" borderId="10" xfId="0" applyNumberFormat="1" applyFont="1" applyFill="1" applyBorder="1" applyAlignment="1">
      <x:alignment horizontal="center"/>
    </x:xf>
    <x:xf numFmtId="0" fontId="5" fillId="4" borderId="11" xfId="0" applyNumberFormat="1" applyFont="1" applyFill="1" applyBorder="1" applyAlignment="1">
      <x:alignment horizontal="center"/>
    </x:xf>
    <x:xf numFmtId="201" fontId="5" fillId="4" borderId="10" xfId="0" applyNumberFormat="1" applyFont="1" applyFill="1" applyBorder="1" applyAlignment="1">
      <x:alignment horizontal="center"/>
    </x:xf>
    <x:xf numFmtId="201" fontId="5" fillId="4" borderId="11" xfId="0" applyNumberFormat="1" applyFont="1" applyFill="1" applyBorder="1" applyAlignment="1">
      <x:alignment horizontal="center"/>
    </x:xf>
  </x:cellXfs>
  <x:cellStyles count="1">
    <x:cellStyle name="Normal" xfId="0"/>
  </x:cellStyles>
  <x:dxfs count="3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ac6d8148d4a3a" /><Relationship Type="http://schemas.openxmlformats.org/officeDocument/2006/relationships/theme" Target="/xl/theme/theme1.xml" Id="R92739b819e0d41ae" /><Relationship Type="http://schemas.openxmlformats.org/officeDocument/2006/relationships/sharedStrings" Target="/xl/sharedStrings.xml" Id="Rd778e9c13e7040ed" /><Relationship Type="http://schemas.openxmlformats.org/officeDocument/2006/relationships/worksheet" Target="/xl/worksheets/sheet1.xml" Id="Rb9a1e5b2a04c4f81" /><Relationship Type="http://schemas.openxmlformats.org/officeDocument/2006/relationships/worksheet" Target="/xl/worksheets/sheet2.xml" Id="Rb5e68fd9c17c410c" /><Relationship Type="http://schemas.openxmlformats.org/officeDocument/2006/relationships/worksheet" Target="/xl/worksheets/sheet3.xml" Id="Rf5aae4aebb6740e4" /><Relationship Type="http://schemas.openxmlformats.org/officeDocument/2006/relationships/worksheet" Target="/xl/worksheets/sheet4.xml" Id="Rcca74c736cc94e07" /><Relationship Type="http://schemas.openxmlformats.org/officeDocument/2006/relationships/worksheet" Target="/xl/worksheets/sheet5.xml" Id="R52c5814c50b943a8" /><Relationship Type="http://schemas.openxmlformats.org/officeDocument/2006/relationships/worksheet" Target="/xl/worksheets/sheet6.xml" Id="Rf48a8fd777b3442a" /><Relationship Type="http://schemas.openxmlformats.org/officeDocument/2006/relationships/worksheet" Target="/xl/worksheets/sheet7.xml" Id="R2df89a04ca9343a7" /><Relationship Type="http://schemas.openxmlformats.org/officeDocument/2006/relationships/worksheet" Target="/xl/worksheets/sheet8.xml" Id="R47c59d46131b45ec" /><Relationship Type="http://schemas.openxmlformats.org/officeDocument/2006/relationships/worksheet" Target="/xl/worksheets/sheet9.xml" Id="Rac8b9e8dfffd4f07" /><Relationship Type="http://schemas.openxmlformats.org/officeDocument/2006/relationships/worksheet" Target="/xl/worksheets/sheet10.xml" Id="R16e8b6e2efca4eca" /></Relationships>
</file>

<file path=xl/tables/table1.xml><?xml version="1.0" encoding="utf-8"?>
<x:table xmlns:x="http://schemas.openxmlformats.org/spreadsheetml/2006/main" id="1" name="GoWithUsProgressTable" displayName="GoWithUsProgressTable" ref="A7:E46" headerRowCount="1" totalsRowCount="0" totalsRowShown="0">
  <x:autoFilter ref="A7:E46"/>
  <x:tableColumns count="5">
    <x:tableColumn id="1" name="รายละเอียดการดำเนินงาน"/>
    <x:tableColumn id="2" name="รหัส"/>
    <x:tableColumn id="3" name="รายละเอียดย่อย"/>
    <x:tableColumn id="4" name="ร้อยละ"/>
    <x:tableColumn id="5" name="สถาน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lestonePlanTable" displayName="MilestonePlanTable" ref="A3:D11" headerRowCount="1" totalsRowCount="0" totalsRowShown="0">
  <x:autoFilter ref="A3:D11"/>
  <x:tableColumns count="4">
    <x:tableColumn id="1" name="ใบความคืบหน้า"/>
    <x:tableColumn id="2" name="รายละเอียดงาน"/>
    <x:tableColumn id="3" name="ร้อยละสะสมเป้าหมาย"/>
    <x:tableColumn id="4" name="สถาน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8286c7f46440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b6232384b248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58" hidden="0" customWidth="1"/>
    <x:col min="4" max="4" width="12" hidden="0" customWidth="1"/>
    <x:col min="5" max="5" width="19" hidden="0" customWidth="1"/>
  </x:cols>
  <x:sheetData>
    <x:row r="1" ht="34" customHeight="1">
      <x:c r="A1" s="4" t="str">
        <x:v>แผนการดำเนินงานโครงการ GoWithUs</x:v>
      </x:c>
      <x:c r="B1" s="4"/>
      <x:c r="C1" s="4"/>
      <x:c r="D1" s="4"/>
      <x:c r="E1" s="4"/>
    </x:row>
    <x:row r="3">
      <x:c r="A3" s="7" t="str">
        <x:v>ความคืบหน้าที่เสร็จแล้ว</x:v>
      </x:c>
      <x:c r="B3" s="7"/>
      <x:c r="C3" s="9" t="n">
        <x:f>SUMIF(E8:E46,"เสร็จแล้ว",D8:D46)</x:f>
        <x:v>0.6900000000000004</x:v>
      </x:c>
      <x:c r="D3" s="8" t="str">
        <x:v>น้ำหนักรวม</x:v>
      </x:c>
      <x:c r="E3" s="9" t="n">
        <x:f>SUM(D8:D46)</x:f>
        <x:v>1.0000000000000007</x:v>
      </x:c>
    </x:row>
    <x:row r="5">
      <x:c r="A5" s="12" t="str">
        <x:v>สถานะสามารถเปลี่ยนได้จากรายการ: เสร็จแล้ว / กำลังดำเนินการ / ยังไม่เริ่ม โดยเปอร์เซ็นต์สรุปจะคำนวณใหม่อัตโนมัติ</x:v>
      </x:c>
      <x:c r="B5" s="12"/>
      <x:c r="C5" s="12"/>
      <x:c r="D5" s="12"/>
      <x:c r="E5" s="12"/>
    </x:row>
    <x:row r="7">
      <x:c r="A7" s="17" t="str">
        <x:v>รายละเอียดการดำเนินงาน</x:v>
      </x:c>
      <x:c r="B7" s="17" t="str">
        <x:v>รหัส</x:v>
      </x:c>
      <x:c r="C7" s="17" t="str">
        <x:v>รายละเอียดย่อย</x:v>
      </x:c>
      <x:c r="D7" s="17" t="str">
        <x:v>ร้อยละ</x:v>
      </x:c>
      <x:c r="E7" s="17" t="str">
        <x:v>สถานะ</x:v>
      </x:c>
    </x:row>
    <x:row r="8" ht="31" customHeight="1">
      <x:c r="A8" s="24" t="str">
        <x:v>1. ศึกษาและทำความเข้าใจปัญหา</x:v>
      </x:c>
      <x:c r="B8" s="30" t="str">
        <x:v>1.1</x:v>
      </x:c>
      <x:c r="C8" s="24" t="str">
        <x:v>ศึกษาปัญหาการหาเพื่อนร่วมเดินทาง</x:v>
      </x:c>
      <x:c r="D8" s="33" t="n">
        <x:v>0.04</x:v>
      </x:c>
      <x:c r="E8" s="30" t="str">
        <x:v>เสร็จแล้ว</x:v>
      </x:c>
    </x:row>
    <x:row r="9" ht="31" customHeight="1">
      <x:c r="A9" s="25" t="str">
        <x:v>1. ศึกษาและทำความเข้าใจปัญหา</x:v>
      </x:c>
      <x:c r="B9" s="31" t="str">
        <x:v>1.2</x:v>
      </x:c>
      <x:c r="C9" s="25" t="str">
        <x:v>ศึกษาแนวคิดระบบแนะนำ การจับคู่ และ Cosine Similarity</x:v>
      </x:c>
      <x:c r="D9" s="34" t="n">
        <x:v>0.04</x:v>
      </x:c>
      <x:c r="E9" s="31" t="str">
        <x:v>เสร็จแล้ว</x:v>
      </x:c>
    </x:row>
    <x:row r="10" ht="31" customHeight="1">
      <x:c r="A10" s="25" t="str">
        <x:v>2. การรวบรวมข้อมูล</x:v>
      </x:c>
      <x:c r="B10" s="31" t="str">
        <x:v>2.1</x:v>
      </x:c>
      <x:c r="C10" s="25" t="str">
        <x:v>รวบรวมทฤษฎี งานวิจัย และข้อมูลที่เกี่ยวข้อง</x:v>
      </x:c>
      <x:c r="D10" s="34" t="n">
        <x:v>0.04</x:v>
      </x:c>
      <x:c r="E10" s="31" t="str">
        <x:v>เสร็จแล้ว</x:v>
      </x:c>
    </x:row>
    <x:row r="11" ht="31" customHeight="1">
      <x:c r="A11" s="25" t="str">
        <x:v>2. การรวบรวมข้อมูล</x:v>
      </x:c>
      <x:c r="B11" s="31" t="str">
        <x:v>2.2</x:v>
      </x:c>
      <x:c r="C11" s="25" t="str">
        <x:v>ศึกษาปัจจัยที่ส่งผลต่อการจับคู่เพื่อนร่วมเดินทาง</x:v>
      </x:c>
      <x:c r="D11" s="34" t="n">
        <x:v>0.04</x:v>
      </x:c>
      <x:c r="E11" s="31" t="str">
        <x:v>เสร็จแล้ว</x:v>
      </x:c>
    </x:row>
    <x:row r="12" ht="31" customHeight="1">
      <x:c r="A12" s="25" t="str">
        <x:v>3. การวิเคราะห์ระบบ</x:v>
      </x:c>
      <x:c r="B12" s="31" t="str">
        <x:v>3.1</x:v>
      </x:c>
      <x:c r="C12" s="25" t="str">
        <x:v>วิเคราะห์ความต้องการของผู้ใช้งานและผู้ดูแลระบบ</x:v>
      </x:c>
      <x:c r="D12" s="34" t="n">
        <x:v>0.04</x:v>
      </x:c>
      <x:c r="E12" s="31" t="str">
        <x:v>เสร็จแล้ว</x:v>
      </x:c>
    </x:row>
    <x:row r="13" ht="31" customHeight="1">
      <x:c r="A13" s="25" t="str">
        <x:v>3. การวิเคราะห์ระบบ</x:v>
      </x:c>
      <x:c r="B13" s="31" t="str">
        <x:v>3.2</x:v>
      </x:c>
      <x:c r="C13" s="25" t="str">
        <x:v>วิเคราะห์กระบวนการทำงานของระบบ Smart Matching</x:v>
      </x:c>
      <x:c r="D13" s="34" t="n">
        <x:v>0.04</x:v>
      </x:c>
      <x:c r="E13" s="31" t="str">
        <x:v>เสร็จแล้ว</x:v>
      </x:c>
    </x:row>
    <x:row r="14" ht="31" customHeight="1">
      <x:c r="A14" s="25" t="str">
        <x:v>3. การวิเคราะห์ระบบ</x:v>
      </x:c>
      <x:c r="B14" s="31" t="str">
        <x:v>3.3</x:v>
      </x:c>
      <x:c r="C14" s="25" t="str">
        <x:v>วิเคราะห์ข้อมูลจากแบบสอบถามสำหรับสร้าง Preference Vector</x:v>
      </x:c>
      <x:c r="D14" s="34" t="n">
        <x:v>0.04</x:v>
      </x:c>
      <x:c r="E14" s="31" t="str">
        <x:v>เสร็จแล้ว</x:v>
      </x:c>
    </x:row>
    <x:row r="15" ht="31" customHeight="1">
      <x:c r="A15" s="25" t="str">
        <x:v>4. การออกแบบระบบ</x:v>
      </x:c>
      <x:c r="B15" s="31" t="str">
        <x:v>4.1</x:v>
      </x:c>
      <x:c r="C15" s="25" t="str">
        <x:v>ออกแบบสถาปัตยกรรมระบบ</x:v>
      </x:c>
      <x:c r="D15" s="34" t="n">
        <x:v>0.03</x:v>
      </x:c>
      <x:c r="E15" s="31" t="str">
        <x:v>เสร็จแล้ว</x:v>
      </x:c>
    </x:row>
    <x:row r="16" ht="31" customHeight="1">
      <x:c r="A16" s="25" t="str">
        <x:v>4. การออกแบบระบบ</x:v>
      </x:c>
      <x:c r="B16" s="31" t="str">
        <x:v>4.2</x:v>
      </x:c>
      <x:c r="C16" s="25" t="str">
        <x:v>ออกแบบฐานข้อมูลและความสัมพันธ์ของข้อมูล</x:v>
      </x:c>
      <x:c r="D16" s="34" t="n">
        <x:v>0.03</x:v>
      </x:c>
      <x:c r="E16" s="31" t="str">
        <x:v>เสร็จแล้ว</x:v>
      </x:c>
    </x:row>
    <x:row r="17" ht="31" customHeight="1">
      <x:c r="A17" s="25" t="str">
        <x:v>4. การออกแบบระบบ</x:v>
      </x:c>
      <x:c r="B17" s="31" t="str">
        <x:v>4.3</x:v>
      </x:c>
      <x:c r="C17" s="25" t="str">
        <x:v>ออกแบบ UI/UX ของแอปพลิเคชันและระบบ Backoffice</x:v>
      </x:c>
      <x:c r="D17" s="34" t="n">
        <x:v>0.03</x:v>
      </x:c>
      <x:c r="E17" s="31" t="str">
        <x:v>เสร็จแล้ว</x:v>
      </x:c>
    </x:row>
    <x:row r="18" ht="31" customHeight="1">
      <x:c r="A18" s="25" t="str">
        <x:v>4. การออกแบบระบบ</x:v>
      </x:c>
      <x:c r="B18" s="31" t="str">
        <x:v>4.4</x:v>
      </x:c>
      <x:c r="C18" s="25" t="str">
        <x:v>ออกแบบคำถาม Onboarding และการเก็บความต้องการผู้ใช้</x:v>
      </x:c>
      <x:c r="D18" s="34" t="n">
        <x:v>0.03</x:v>
      </x:c>
      <x:c r="E18" s="31" t="str">
        <x:v>เสร็จแล้ว</x:v>
      </x:c>
    </x:row>
    <x:row r="19" ht="31" customHeight="1">
      <x:c r="A19" s="25" t="str">
        <x:v>4. การออกแบบระบบ</x:v>
      </x:c>
      <x:c r="B19" s="31" t="str">
        <x:v>4.5</x:v>
      </x:c>
      <x:c r="C19" s="25" t="str">
        <x:v>ออกแบบ User Preference Vector และ Trip Feature Vector</x:v>
      </x:c>
      <x:c r="D19" s="34" t="n">
        <x:v>0.03</x:v>
      </x:c>
      <x:c r="E19" s="31" t="str">
        <x:v>เสร็จแล้ว</x:v>
      </x:c>
    </x:row>
    <x:row r="20" ht="31" customHeight="1">
      <x:c r="A20" s="25" t="str">
        <x:v>5.1 แอปพลิเคชัน iOS</x:v>
      </x:c>
      <x:c r="B20" s="31" t="str">
        <x:v>5.1.1</x:v>
      </x:c>
      <x:c r="C20" s="25" t="str">
        <x:v>พัฒนาหน้าสมัครสมาชิกและเข้าสู่ระบบ</x:v>
      </x:c>
      <x:c r="D20" s="34" t="n">
        <x:v>0.02</x:v>
      </x:c>
      <x:c r="E20" s="31" t="str">
        <x:v>เสร็จแล้ว</x:v>
      </x:c>
    </x:row>
    <x:row r="21" ht="31" customHeight="1">
      <x:c r="A21" s="25" t="str">
        <x:v>5.1 แอปพลิเคชัน iOS</x:v>
      </x:c>
      <x:c r="B21" s="31" t="str">
        <x:v>5.1.2</x:v>
      </x:c>
      <x:c r="C21" s="25" t="str">
        <x:v>พัฒนาหน้า Onboarding และแบบสอบถามความชอบ</x:v>
      </x:c>
      <x:c r="D21" s="34" t="n">
        <x:v>0.02</x:v>
      </x:c>
      <x:c r="E21" s="31" t="str">
        <x:v>เสร็จแล้ว</x:v>
      </x:c>
    </x:row>
    <x:row r="22" ht="31" customHeight="1">
      <x:c r="A22" s="25" t="str">
        <x:v>5.1 แอปพลิเคชัน iOS</x:v>
      </x:c>
      <x:c r="B22" s="31" t="str">
        <x:v>5.1.3</x:v>
      </x:c>
      <x:c r="C22" s="25" t="str">
        <x:v>พัฒนาหน้า Feed และการค้นหาทริป</x:v>
      </x:c>
      <x:c r="D22" s="34" t="n">
        <x:v>0.02</x:v>
      </x:c>
      <x:c r="E22" s="31" t="str">
        <x:v>เสร็จแล้ว</x:v>
      </x:c>
    </x:row>
    <x:row r="23" ht="31" customHeight="1">
      <x:c r="A23" s="25" t="str">
        <x:v>5.1 แอปพลิเคชัน iOS</x:v>
      </x:c>
      <x:c r="B23" s="31" t="str">
        <x:v>5.1.4</x:v>
      </x:c>
      <x:c r="C23" s="25" t="str">
        <x:v>พัฒนาหน้ารายละเอียดทริปและแสดง Match Score</x:v>
      </x:c>
      <x:c r="D23" s="34" t="n">
        <x:v>0.02</x:v>
      </x:c>
      <x:c r="E23" s="31" t="str">
        <x:v>เสร็จแล้ว</x:v>
      </x:c>
    </x:row>
    <x:row r="24" ht="31" customHeight="1">
      <x:c r="A24" s="25" t="str">
        <x:v>5.1 แอปพลิเคชัน iOS</x:v>
      </x:c>
      <x:c r="B24" s="31" t="str">
        <x:v>5.1.5</x:v>
      </x:c>
      <x:c r="C24" s="25" t="str">
        <x:v>พัฒนากระบวนการสร้างทริปและแผนการเดินทาง</x:v>
      </x:c>
      <x:c r="D24" s="34" t="n">
        <x:v>0.02</x:v>
      </x:c>
      <x:c r="E24" s="31" t="str">
        <x:v>เสร็จแล้ว</x:v>
      </x:c>
    </x:row>
    <x:row r="25" ht="31" customHeight="1">
      <x:c r="A25" s="25" t="str">
        <x:v>5.1 แอปพลิเคชัน iOS</x:v>
      </x:c>
      <x:c r="B25" s="31" t="str">
        <x:v>5.1.6</x:v>
      </x:c>
      <x:c r="C25" s="25" t="str">
        <x:v>พัฒนาหน้าโปรไฟล์และการแก้ไขข้อมูลผู้ใช้</x:v>
      </x:c>
      <x:c r="D25" s="34" t="n">
        <x:v>0.02</x:v>
      </x:c>
      <x:c r="E25" s="31" t="str">
        <x:v>เสร็จแล้ว</x:v>
      </x:c>
    </x:row>
    <x:row r="26" ht="31" customHeight="1">
      <x:c r="A26" s="25" t="str">
        <x:v>5.1 แอปพลิเคชัน iOS</x:v>
      </x:c>
      <x:c r="B26" s="31" t="str">
        <x:v>5.1.7</x:v>
      </x:c>
      <x:c r="C26" s="25" t="str">
        <x:v>พัฒนาระบบสนทนาและห้องแชตกลุ่ม</x:v>
      </x:c>
      <x:c r="D26" s="34" t="n">
        <x:v>0.02</x:v>
      </x:c>
      <x:c r="E26" s="31" t="str">
        <x:v>เสร็จแล้ว</x:v>
      </x:c>
    </x:row>
    <x:row r="27" ht="31" customHeight="1">
      <x:c r="A27" s="25" t="str">
        <x:v>5.1 แอปพลิเคชัน iOS</x:v>
      </x:c>
      <x:c r="B27" s="31" t="str">
        <x:v>5.1.8</x:v>
      </x:c>
      <x:c r="C27" s="25" t="str">
        <x:v>พัฒนาระบบแจ้งเตือนภายในแอป</x:v>
      </x:c>
      <x:c r="D27" s="34" t="n">
        <x:v>0.02</x:v>
      </x:c>
      <x:c r="E27" s="31" t="str">
        <x:v>เสร็จแล้ว</x:v>
      </x:c>
    </x:row>
    <x:row r="28" ht="31" customHeight="1">
      <x:c r="A28" s="25" t="str">
        <x:v>5.1 แอปพลิเคชัน iOS</x:v>
      </x:c>
      <x:c r="B28" s="31" t="str">
        <x:v>5.1.9</x:v>
      </x:c>
      <x:c r="C28" s="25" t="str">
        <x:v>พัฒนาระบบยืนยันตัวตนด้วยภาพใบหน้า</x:v>
      </x:c>
      <x:c r="D28" s="34" t="n">
        <x:v>0.02</x:v>
      </x:c>
      <x:c r="E28" s="31" t="str">
        <x:v>เสร็จแล้ว</x:v>
      </x:c>
    </x:row>
    <x:row r="29" ht="31" customHeight="1">
      <x:c r="A29" s="25" t="str">
        <x:v>5.2 Backend และ AI</x:v>
      </x:c>
      <x:c r="B29" s="31" t="str">
        <x:v>5.2.1</x:v>
      </x:c>
      <x:c r="C29" s="25" t="str">
        <x:v>พัฒนา Backend API ด้วย Node.js และ Express</x:v>
      </x:c>
      <x:c r="D29" s="34" t="n">
        <x:v>0.03</x:v>
      </x:c>
      <x:c r="E29" s="31" t="str">
        <x:v>กำลังดำเนินการ</x:v>
      </x:c>
    </x:row>
    <x:row r="30" ht="31" customHeight="1">
      <x:c r="A30" s="25" t="str">
        <x:v>5.2 Backend และ AI</x:v>
      </x:c>
      <x:c r="B30" s="31" t="str">
        <x:v>5.2.2</x:v>
      </x:c>
      <x:c r="C30" s="25" t="str">
        <x:v>เชื่อมต่อฐานข้อมูล PostgreSQL บน Supabase ผ่าน Prisma</x:v>
      </x:c>
      <x:c r="D30" s="34" t="n">
        <x:v>0.03</x:v>
      </x:c>
      <x:c r="E30" s="31" t="str">
        <x:v>กำลังดำเนินการ</x:v>
      </x:c>
    </x:row>
    <x:row r="31" ht="31" customHeight="1">
      <x:c r="A31" s="25" t="str">
        <x:v>5.2 Backend และ AI</x:v>
      </x:c>
      <x:c r="B31" s="31" t="str">
        <x:v>5.2.3</x:v>
      </x:c>
      <x:c r="C31" s="25" t="str">
        <x:v>พัฒนาระบบ Matching ด้วย Cosine Similarity</x:v>
      </x:c>
      <x:c r="D31" s="34" t="n">
        <x:v>0.04</x:v>
      </x:c>
      <x:c r="E31" s="31" t="str">
        <x:v>กำลังดำเนินการ</x:v>
      </x:c>
    </x:row>
    <x:row r="32" ht="31" customHeight="1">
      <x:c r="A32" s="25" t="str">
        <x:v>5.2 Backend และ AI</x:v>
      </x:c>
      <x:c r="B32" s="31" t="str">
        <x:v>5.2.4</x:v>
      </x:c>
      <x:c r="C32" s="25" t="str">
        <x:v>เชื่อมต่อ Gemini API สำหรับสร้างแผนการเดินทาง</x:v>
      </x:c>
      <x:c r="D32" s="34" t="n">
        <x:v>0.03</x:v>
      </x:c>
      <x:c r="E32" s="31" t="str">
        <x:v>กำลังดำเนินการ</x:v>
      </x:c>
    </x:row>
    <x:row r="33" ht="31" customHeight="1">
      <x:c r="A33" s="25" t="str">
        <x:v>5.2 Backend และ AI</x:v>
      </x:c>
      <x:c r="B33" s="31" t="str">
        <x:v>5.2.5</x:v>
      </x:c>
      <x:c r="C33" s="25" t="str">
        <x:v>เชื่อมต่อระบบแชตและ Push Notification</x:v>
      </x:c>
      <x:c r="D33" s="34" t="n">
        <x:v>0.02</x:v>
      </x:c>
      <x:c r="E33" s="31" t="str">
        <x:v>กำลังดำเนินการ</x:v>
      </x:c>
    </x:row>
    <x:row r="34" ht="31" customHeight="1">
      <x:c r="A34" s="25" t="str">
        <x:v>5.3 ระบบ Backoffice</x:v>
      </x:c>
      <x:c r="B34" s="31" t="str">
        <x:v>5.3.1</x:v>
      </x:c>
      <x:c r="C34" s="25" t="str">
        <x:v>พัฒนาหน้า Dashboard แสดงสถิติภาพรวม</x:v>
      </x:c>
      <x:c r="D34" s="34" t="n">
        <x:v>0.01</x:v>
      </x:c>
      <x:c r="E34" s="31" t="str">
        <x:v>เสร็จแล้ว</x:v>
      </x:c>
    </x:row>
    <x:row r="35" ht="31" customHeight="1">
      <x:c r="A35" s="25" t="str">
        <x:v>5.3 ระบบ Backoffice</x:v>
      </x:c>
      <x:c r="B35" s="31" t="str">
        <x:v>5.3.2</x:v>
      </x:c>
      <x:c r="C35" s="25" t="str">
        <x:v>พัฒนาหน้าจัดการผู้ใช้งาน</x:v>
      </x:c>
      <x:c r="D35" s="34" t="n">
        <x:v>0.015</x:v>
      </x:c>
      <x:c r="E35" s="31" t="str">
        <x:v>เสร็จแล้ว</x:v>
      </x:c>
    </x:row>
    <x:row r="36" ht="31" customHeight="1">
      <x:c r="A36" s="25" t="str">
        <x:v>5.3 ระบบ Backoffice</x:v>
      </x:c>
      <x:c r="B36" s="31" t="str">
        <x:v>5.3.3</x:v>
      </x:c>
      <x:c r="C36" s="25" t="str">
        <x:v>พัฒนาหน้าจัดการทริป</x:v>
      </x:c>
      <x:c r="D36" s="34" t="n">
        <x:v>0.015</x:v>
      </x:c>
      <x:c r="E36" s="31" t="str">
        <x:v>เสร็จแล้ว</x:v>
      </x:c>
    </x:row>
    <x:row r="37" ht="31" customHeight="1">
      <x:c r="A37" s="25" t="str">
        <x:v>5.3 ระบบ Backoffice</x:v>
      </x:c>
      <x:c r="B37" s="31" t="str">
        <x:v>5.3.4</x:v>
      </x:c>
      <x:c r="C37" s="25" t="str">
        <x:v>พัฒนาหน้าจัดการรายงานผู้ใช้</x:v>
      </x:c>
      <x:c r="D37" s="34" t="n">
        <x:v>0.015</x:v>
      </x:c>
      <x:c r="E37" s="31" t="str">
        <x:v>เสร็จแล้ว</x:v>
      </x:c>
    </x:row>
    <x:row r="38" ht="31" customHeight="1">
      <x:c r="A38" s="25" t="str">
        <x:v>5.3 ระบบ Backoffice</x:v>
      </x:c>
      <x:c r="B38" s="31" t="str">
        <x:v>5.3.5</x:v>
      </x:c>
      <x:c r="C38" s="25" t="str">
        <x:v>พัฒนาหน้าตรวจสอบการยืนยันตัวตน</x:v>
      </x:c>
      <x:c r="D38" s="34" t="n">
        <x:v>0.015</x:v>
      </x:c>
      <x:c r="E38" s="31" t="str">
        <x:v>เสร็จแล้ว</x:v>
      </x:c>
    </x:row>
    <x:row r="39" ht="31" customHeight="1">
      <x:c r="A39" s="25" t="str">
        <x:v>5.3 ระบบ Backoffice</x:v>
      </x:c>
      <x:c r="B39" s="31" t="str">
        <x:v>5.3.6</x:v>
      </x:c>
      <x:c r="C39" s="25" t="str">
        <x:v>พัฒนาหน้าประกาศและการแจ้งเตือนระบบ</x:v>
      </x:c>
      <x:c r="D39" s="34" t="n">
        <x:v>0.01</x:v>
      </x:c>
      <x:c r="E39" s="31" t="str">
        <x:v>เสร็จแล้ว</x:v>
      </x:c>
    </x:row>
    <x:row r="40" ht="31" customHeight="1">
      <x:c r="A40" s="25" t="str">
        <x:v>6. การทดสอบและประเมินผล</x:v>
      </x:c>
      <x:c r="B40" s="31" t="str">
        <x:v>6.1</x:v>
      </x:c>
      <x:c r="C40" s="25" t="str">
        <x:v>ทดสอบการทำงานของแต่ละฟังก์ชัน</x:v>
      </x:c>
      <x:c r="D40" s="34" t="n">
        <x:v>0.03</x:v>
      </x:c>
      <x:c r="E40" s="31" t="str">
        <x:v>ยังไม่เริ่ม</x:v>
      </x:c>
    </x:row>
    <x:row r="41" ht="31" customHeight="1">
      <x:c r="A41" s="25" t="str">
        <x:v>6. การทดสอบและประเมินผล</x:v>
      </x:c>
      <x:c r="B41" s="31" t="str">
        <x:v>6.2</x:v>
      </x:c>
      <x:c r="C41" s="25" t="str">
        <x:v>ทดสอบความถูกต้องของ Cosine Similarity และ Match Score</x:v>
      </x:c>
      <x:c r="D41" s="34" t="n">
        <x:v>0.03</x:v>
      </x:c>
      <x:c r="E41" s="31" t="str">
        <x:v>ยังไม่เริ่ม</x:v>
      </x:c>
    </x:row>
    <x:row r="42" ht="31" customHeight="1">
      <x:c r="A42" s="25" t="str">
        <x:v>6. การทดสอบและประเมินผล</x:v>
      </x:c>
      <x:c r="B42" s="31" t="str">
        <x:v>6.3</x:v>
      </x:c>
      <x:c r="C42" s="25" t="str">
        <x:v>ทดสอบการทำงานร่วมกันระหว่างแอป Backend และฐานข้อมูล</x:v>
      </x:c>
      <x:c r="D42" s="34" t="n">
        <x:v>0.02</x:v>
      </x:c>
      <x:c r="E42" s="31" t="str">
        <x:v>ยังไม่เริ่ม</x:v>
      </x:c>
    </x:row>
    <x:row r="43" ht="31" customHeight="1">
      <x:c r="A43" s="25" t="str">
        <x:v>6. การทดสอบและประเมินผล</x:v>
      </x:c>
      <x:c r="B43" s="31" t="str">
        <x:v>6.4</x:v>
      </x:c>
      <x:c r="C43" s="25" t="str">
        <x:v>ทดสอบการยอมรับของผู้ใช้งาน (UAT)</x:v>
      </x:c>
      <x:c r="D43" s="34" t="n">
        <x:v>0.02</x:v>
      </x:c>
      <x:c r="E43" s="31" t="str">
        <x:v>ยังไม่เริ่ม</x:v>
      </x:c>
    </x:row>
    <x:row r="44" ht="31" customHeight="1">
      <x:c r="A44" s="25" t="str">
        <x:v>7. การปรับปรุงและจัดทำเอกสาร</x:v>
      </x:c>
      <x:c r="B44" s="31" t="str">
        <x:v>7.1</x:v>
      </x:c>
      <x:c r="C44" s="25" t="str">
        <x:v>ปรับปรุง UI/UX จากผลการทดสอบ</x:v>
      </x:c>
      <x:c r="D44" s="34" t="n">
        <x:v>0.03</x:v>
      </x:c>
      <x:c r="E44" s="31" t="str">
        <x:v>กำลังดำเนินการ</x:v>
      </x:c>
    </x:row>
    <x:row r="45" ht="31" customHeight="1">
      <x:c r="A45" s="25" t="str">
        <x:v>7. การปรับปรุงและจัดทำเอกสาร</x:v>
      </x:c>
      <x:c r="B45" s="31" t="str">
        <x:v>7.2</x:v>
      </x:c>
      <x:c r="C45" s="25" t="str">
        <x:v>แก้ไขข้อผิดพลาดและปรับปรุงประสิทธิภาพ</x:v>
      </x:c>
      <x:c r="D45" s="34" t="n">
        <x:v>0.02</x:v>
      </x:c>
      <x:c r="E45" s="31" t="str">
        <x:v>กำลังดำเนินการ</x:v>
      </x:c>
    </x:row>
    <x:row r="46" ht="31" customHeight="1">
      <x:c r="A46" s="26" t="str">
        <x:v>7. การปรับปรุงและจัดทำเอกสาร</x:v>
      </x:c>
      <x:c r="B46" s="32" t="str">
        <x:v>7.3</x:v>
      </x:c>
      <x:c r="C46" s="26" t="str">
        <x:v>จัดทำรายงานโครงงานฉบับสมบูรณ์</x:v>
      </x:c>
      <x:c r="D46" s="35" t="n">
        <x:v>0.01</x:v>
      </x:c>
      <x:c r="E46" s="32" t="str">
        <x:v>กำลังดำเนินการ</x:v>
      </x:c>
    </x:row>
    <x:row r="47" ht="31" customHeight="1">
      <x:c r="A47" s="39" t="str">
        <x:v>รวม</x:v>
      </x:c>
      <x:c r="B47" s="39"/>
      <x:c r="C47" s="39"/>
      <x:c r="D47" s="40" t="n">
        <x:f>SUM(D8:D46)</x:f>
        <x:v>1.0000000000000007</x:v>
      </x:c>
      <x:c r="E47" s="40" t="n">
        <x:f>SUMIF(E8:E46,"เสร็จแล้ว",D8:D46)</x:f>
        <x:v>0.6900000000000004</x:v>
      </x:c>
    </x:row>
  </x:sheetData>
  <x:mergeCells>
    <x:mergeCell ref="A1:E1"/>
    <x:mergeCell ref="A3:B3"/>
    <x:mergeCell ref="A5:E5"/>
    <x:mergeCell ref="A47:C47"/>
  </x:mergeCells>
  <x:conditionalFormatting sqref="E8:E46">
    <x:cfRule type="containsText" dxfId="0" priority="1" operator="containsText" text="เสร็จแล้ว"/>
    <x:cfRule type="containsText" dxfId="1" priority="2" operator="containsText" text="กำลังดำเนินการ"/>
    <x:cfRule type="containsText" dxfId="2" priority="3" operator="containsText" text="ยังไม่เริ่ม"/>
  </x:conditionalFormatting>
  <x:dataValidations count="1">
    <x:dataValidation type="list" sqref="E8:E46">
      <x:formula1>"เสร็จแล้ว,กำลังดำเนินการ,ยังไม่เริ่ม"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8286c7f464405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8" hidden="0" customWidth="1"/>
    <x:col min="3" max="3" width="23" hidden="0" customWidth="1"/>
    <x:col min="4" max="4" width="20" hidden="0" customWidth="1"/>
  </x:cols>
  <x:sheetData>
    <x:row r="1" ht="34" customHeight="1">
      <x:c r="A1" s="4" t="str">
        <x:v>แผนการทำงานและใบความคืบหน้าโครงการ GoWithUs</x:v>
      </x:c>
      <x:c r="B1" s="4"/>
      <x:c r="C1" s="4"/>
      <x:c r="D1" s="4"/>
    </x:row>
    <x:row r="3">
      <x:c r="A3" s="17" t="str">
        <x:v>ใบความคืบหน้า</x:v>
      </x:c>
      <x:c r="B3" s="17" t="str">
        <x:v>รายละเอียดงาน</x:v>
      </x:c>
      <x:c r="C3" s="17" t="str">
        <x:v>ร้อยละสะสมเป้าหมาย</x:v>
      </x:c>
      <x:c r="D3" s="17" t="str">
        <x:v>สถานะ</x:v>
      </x:c>
    </x:row>
    <x:row r="4" ht="42" customHeight="1">
      <x:c r="A4" s="30" t="str">
        <x:v>ใบที่ 1</x:v>
      </x:c>
      <x:c r="B4" s="24" t="str">
        <x:v>ศึกษาปัญหาการหาเพื่อนร่วมเดินทางและรวบรวมข้อมูลที่เกี่ยวข้อง</x:v>
      </x:c>
      <x:c r="C4" s="41" t="n">
        <x:v>0.16</x:v>
      </x:c>
      <x:c r="D4" s="30" t="str">
        <x:v>เสร็จแล้ว</x:v>
      </x:c>
    </x:row>
    <x:row r="5" ht="42" customHeight="1">
      <x:c r="A5" s="31" t="str">
        <x:v>ใบที่ 2</x:v>
      </x:c>
      <x:c r="B5" s="25" t="str">
        <x:v>วิเคราะห์ Requirement และออกแบบระบบ รวมถึงแบบสอบถามก่อนเข้าสู่แอป</x:v>
      </x:c>
      <x:c r="C5" s="42" t="n">
        <x:v>0.35</x:v>
      </x:c>
      <x:c r="D5" s="31" t="str">
        <x:v>เสร็จแล้ว</x:v>
      </x:c>
    </x:row>
    <x:row r="6" ht="42" customHeight="1">
      <x:c r="A6" s="31" t="str">
        <x:v>ใบที่ 3</x:v>
      </x:c>
      <x:c r="B6" s="25" t="str">
        <x:v>พัฒนา Login / Register และระบบแบบสอบถาม Onboarding</x:v>
      </x:c>
      <x:c r="C6" s="42" t="n">
        <x:v>0.39</x:v>
      </x:c>
      <x:c r="D6" s="31" t="str">
        <x:v>เสร็จแล้ว</x:v>
      </x:c>
    </x:row>
    <x:row r="7" ht="42" customHeight="1">
      <x:c r="A7" s="31" t="str">
        <x:v>ใบที่ 4</x:v>
      </x:c>
      <x:c r="B7" s="25" t="str">
        <x:v>พัฒนาระบบ Matching และการคำนวณ Cosine Similarity</x:v>
      </x:c>
      <x:c r="C7" s="42" t="n">
        <x:v>0.53</x:v>
      </x:c>
      <x:c r="D7" s="31" t="str">
        <x:v>กำลังดำเนินการ</x:v>
      </x:c>
    </x:row>
    <x:row r="8" ht="42" customHeight="1">
      <x:c r="A8" s="31" t="str">
        <x:v>ใบที่ 5</x:v>
      </x:c>
      <x:c r="B8" s="25" t="str">
        <x:v>เชื่อมต่อฐานข้อมูล PostgreSQL บน Supabase และจัดการข้อมูลแบบสอบถาม</x:v>
      </x:c>
      <x:c r="C8" s="42" t="n">
        <x:v>0.6</x:v>
      </x:c>
      <x:c r="D8" s="31" t="str">
        <x:v>กำลังดำเนินการ</x:v>
      </x:c>
    </x:row>
    <x:row r="9" ht="42" customHeight="1">
      <x:c r="A9" s="31" t="str">
        <x:v>ใบที่ 6</x:v>
      </x:c>
      <x:c r="B9" s="25" t="str">
        <x:v>พัฒนา Feed, Create Trip, Profile, Chat, Notification และ Backoffice</x:v>
      </x:c>
      <x:c r="C9" s="42" t="n">
        <x:v>0.77</x:v>
      </x:c>
      <x:c r="D9" s="31" t="str">
        <x:v>เสร็จแล้ว</x:v>
      </x:c>
    </x:row>
    <x:row r="10" ht="42" customHeight="1">
      <x:c r="A10" s="31" t="str">
        <x:v>ใบที่ 7</x:v>
      </x:c>
      <x:c r="B10" s="25" t="str">
        <x:v>เชื่อมต่อ Gemini API และทดสอบระบบ Matching</x:v>
      </x:c>
      <x:c r="C10" s="42" t="n">
        <x:v>0.92</x:v>
      </x:c>
      <x:c r="D10" s="31" t="str">
        <x:v>ยังไม่เริ่ม</x:v>
      </x:c>
    </x:row>
    <x:row r="11" ht="42" customHeight="1">
      <x:c r="A11" s="32" t="str">
        <x:v>ใบที่ 8</x:v>
      </x:c>
      <x:c r="B11" s="26" t="str">
        <x:v>ประเมินผล ปรับปรุงระบบ และจัดทำรายงานฉบับสมบูรณ์</x:v>
      </x:c>
      <x:c r="C11" s="43" t="n">
        <x:v>1</x:v>
      </x:c>
      <x:c r="D11" s="32" t="str">
        <x:v>กำลังดำเนินการ</x:v>
      </x:c>
    </x:row>
    <x:row r="13">
      <x:c r="A13" s="50" t="str">
        <x:v>ความคืบหน้าปัจจุบันจากตารางดำเนินงาน</x:v>
      </x:c>
      <x:c r="B13" s="51"/>
      <x:c r="C13" s="53" t="n">
        <x:f>'แผนการดำเนินงาน'!C3</x:f>
        <x:v>0.6900000000000004</x:v>
      </x:c>
      <x:c r="D13" s="54"/>
    </x:row>
  </x:sheetData>
  <x:mergeCells>
    <x:mergeCell ref="A1:D1"/>
    <x:mergeCell ref="A13:B13"/>
    <x:mergeCell ref="C13:D13"/>
  </x:mergeCells>
  <x:conditionalFormatting sqref="D4:D11">
    <x:cfRule type="containsText" dxfId="3" priority="1" operator="containsText" text="เสร็จแล้ว"/>
    <x:cfRule type="containsText" dxfId="4" priority="2" operator="containsText" text="กำลังดำเนินการ"/>
    <x:cfRule type="containsText" dxfId="5" priority="3" operator="containsText" text="ยังไม่เริ่ม"/>
  </x:conditionalFormatting>
  <x:dataValidations count="1">
    <x:dataValidation type="list" sqref="D4:D11">
      <x:formula1>"เสร็จแล้ว,กำลังดำเนินการ,ยังไม่เริ่ม"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b6232384b248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4" hidden="0" customWidth="1"/>
    <x:col min="3" max="3" width="20" hidden="0" customWidth="1"/>
    <x:col min="4" max="4" width="35" hidden="0" customWidth="1"/>
  </x:cols>
  <x:sheetData>
    <x:row r="1" ht="34" customHeight="1">
      <x:c r="A1" s="57" t="str">
        <x:v>ใบความคืบหน้า ใบที่ 1: ศึกษาปัญหาและรวบรวมข้อมูล</x:v>
      </x:c>
      <x:c r="B1" s="57"/>
      <x:c r="C1" s="57"/>
      <x:c r="D1" s="57"/>
    </x:row>
    <x:row r="3" ht="48" customHeight="1">
      <x:c r="A3" s="60" t="str">
        <x:v>วัตถุประสงค์</x:v>
      </x:c>
      <x:c r="B3" s="60" t="str">
        <x:v>ศึกษาเหตุผลและปัญหาของการหาเพื่อนร่วมเดินทาง รวมถึงรวบรวมข้อมูลที่จำเป็นสำหรับกำหนดแนวทางโครงการ</x:v>
      </x:c>
      <x:c r="C3" s="60"/>
      <x:c r="D3" s="60"/>
    </x:row>
    <x:row r="5">
      <x:c r="A5" s="17" t="str">
        <x:v>ลำดับ</x:v>
      </x:c>
      <x:c r="B5" s="17" t="str">
        <x:v>งานที่ดำเนินการ</x:v>
      </x:c>
      <x:c r="C5" s="17" t="str">
        <x:v>สถานะ</x:v>
      </x:c>
      <x:c r="D5" s="17" t="str">
        <x:v>หมายเหตุ/หลักฐาน</x:v>
      </x:c>
    </x:row>
    <x:row r="6" ht="38" customHeight="1">
      <x:c r="A6" s="30" t="n">
        <x:v>1</x:v>
      </x:c>
      <x:c r="B6" s="24" t="str">
        <x:v>ศึกษาปัญหาการเดินทางคนเดียวและการหาเพื่อนร่วมทาง</x:v>
      </x:c>
      <x:c r="C6" s="30" t="str">
        <x:f>'แผนการทำงาน'!D4</x:f>
        <x:v>เสร็จแล้ว</x:v>
      </x:c>
      <x:c r="D6" s="24" t="str"/>
    </x:row>
    <x:row r="7" ht="38" customHeight="1">
      <x:c r="A7" s="31" t="n">
        <x:v>2</x:v>
      </x:c>
      <x:c r="B7" s="25" t="str">
        <x:v>ศึกษาความเสี่ยงด้านความปลอดภัยและความเข้ากันได้</x:v>
      </x:c>
      <x:c r="C7" s="31" t="str">
        <x:f>'แผนการทำงาน'!D4</x:f>
        <x:v>เสร็จแล้ว</x:v>
      </x:c>
      <x:c r="D7" s="25" t="str"/>
    </x:row>
    <x:row r="8" ht="38" customHeight="1">
      <x:c r="A8" s="31" t="n">
        <x:v>3</x:v>
      </x:c>
      <x:c r="B8" s="25" t="str">
        <x:v>รวบรวมงานวิจัยและระบบที่เกี่ยวข้อง</x:v>
      </x:c>
      <x:c r="C8" s="31" t="str">
        <x:f>'แผนการทำงาน'!D4</x:f>
        <x:v>เสร็จแล้ว</x:v>
      </x:c>
      <x:c r="D8" s="25" t="str"/>
    </x:row>
    <x:row r="9" ht="38" customHeight="1">
      <x:c r="A9" s="32" t="n">
        <x:v>4</x:v>
      </x:c>
      <x:c r="B9" s="26" t="str">
        <x:v>สรุปปัญหา วัตถุประสงค์ และขอบเขตเบื้องต้น</x:v>
      </x:c>
      <x:c r="C9" s="32" t="str">
        <x:f>'แผนการทำงาน'!D4</x:f>
        <x:v>เสร็จแล้ว</x:v>
      </x:c>
      <x:c r="D9" s="26" t="str"/>
    </x:row>
    <x:row r="11">
      <x:c r="A11" s="37" t="str">
        <x:v>ผลลัพธ์ที่ได้</x:v>
      </x:c>
      <x:c r="B11" s="37"/>
      <x:c r="C11" s="37"/>
      <x:c r="D11" s="37"/>
    </x:row>
    <x:row r="12">
      <x:c r="A12" s="62" t="str">
        <x:v>1.</x:v>
      </x:c>
      <x:c r="B12" s="62" t="str">
        <x:v>รายการปัญหาและความต้องการเบื้องต้น</x:v>
      </x:c>
      <x:c r="C12" s="62"/>
      <x:c r="D12" s="62"/>
    </x:row>
    <x:row r="13">
      <x:c r="A13" s="62" t="str">
        <x:v>2.</x:v>
      </x:c>
      <x:c r="B13" s="62" t="str">
        <x:v>ข้อมูลอ้างอิงและงานวิจัยที่เกี่ยวข้อง</x:v>
      </x:c>
      <x:c r="C13" s="62"/>
      <x:c r="D13" s="62"/>
    </x:row>
    <x:row r="14">
      <x:c r="A14" s="62" t="str">
        <x:v>3.</x:v>
      </x:c>
      <x:c r="B14" s="62" t="str">
        <x:v>กรอบแนวคิดเริ่มต้นของระบบ GoWithUs</x:v>
      </x:c>
      <x:c r="C14" s="62"/>
      <x:c r="D14" s="62"/>
    </x:row>
    <x:row r="16">
      <x:c r="A16" s="67" t="str">
        <x:v>ร้อยละสะสมเป้าหมาย</x:v>
      </x:c>
      <x:c r="B16" s="68"/>
      <x:c r="C16" s="70" t="n">
        <x:f>'แผนการทำงาน'!C4</x:f>
        <x:v>0.16</x:v>
      </x:c>
      <x:c r="D16" s="71"/>
    </x:row>
  </x:sheetData>
  <x:mergeCells>
    <x:mergeCell ref="A1:D1"/>
    <x:mergeCell ref="B3:D3"/>
    <x:mergeCell ref="B12:D12"/>
    <x:mergeCell ref="B13:D13"/>
    <x:mergeCell ref="B14:D14"/>
    <x:mergeCell ref="A16:B16"/>
    <x:mergeCell ref="C16:D16"/>
  </x:mergeCells>
  <x:conditionalFormatting sqref="C6:C9">
    <x:cfRule type="containsText" dxfId="6" priority="1" operator="containsText" text="เสร็จแล้ว"/>
    <x:cfRule type="containsText" dxfId="7" priority="2" operator="containsText" text="กำลังดำเนินการ"/>
    <x:cfRule type="containsText" dxfId="8" priority="3" operator="containsText" text="ยังไม่เริ่ม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4" hidden="0" customWidth="1"/>
    <x:col min="3" max="3" width="20" hidden="0" customWidth="1"/>
    <x:col min="4" max="4" width="35" hidden="0" customWidth="1"/>
  </x:cols>
  <x:sheetData>
    <x:row r="1" ht="34" customHeight="1">
      <x:c r="A1" s="57" t="str">
        <x:v>ใบความคืบหน้า ใบที่ 2: วิเคราะห์ Requirement และออกแบบระบบ</x:v>
      </x:c>
      <x:c r="B1" s="57"/>
      <x:c r="C1" s="57"/>
      <x:c r="D1" s="57"/>
    </x:row>
    <x:row r="3" ht="48" customHeight="1">
      <x:c r="A3" s="60" t="str">
        <x:v>วัตถุประสงค์</x:v>
      </x:c>
      <x:c r="B3" s="60" t="str">
        <x:v>วิเคราะห์ความต้องการของผู้ใช้และผู้ดูแลระบบ พร้อมออกแบบกระบวนการและโครงสร้างระบบ</x:v>
      </x:c>
      <x:c r="C3" s="60"/>
      <x:c r="D3" s="60"/>
    </x:row>
    <x:row r="5">
      <x:c r="A5" s="17" t="str">
        <x:v>ลำดับ</x:v>
      </x:c>
      <x:c r="B5" s="17" t="str">
        <x:v>งานที่ดำเนินการ</x:v>
      </x:c>
      <x:c r="C5" s="17" t="str">
        <x:v>สถานะ</x:v>
      </x:c>
      <x:c r="D5" s="17" t="str">
        <x:v>หมายเหตุ/หลักฐาน</x:v>
      </x:c>
    </x:row>
    <x:row r="6" ht="38" customHeight="1">
      <x:c r="A6" s="30" t="n">
        <x:v>1</x:v>
      </x:c>
      <x:c r="B6" s="24" t="str">
        <x:v>วิเคราะห์ Functional และ Non-functional Requirements</x:v>
      </x:c>
      <x:c r="C6" s="30" t="str">
        <x:f>'แผนการทำงาน'!D5</x:f>
        <x:v>เสร็จแล้ว</x:v>
      </x:c>
      <x:c r="D6" s="24" t="str"/>
    </x:row>
    <x:row r="7" ht="38" customHeight="1">
      <x:c r="A7" s="31" t="n">
        <x:v>2</x:v>
      </x:c>
      <x:c r="B7" s="25" t="str">
        <x:v>กำหนด User Requirement และ Admin Requirement</x:v>
      </x:c>
      <x:c r="C7" s="31" t="str">
        <x:f>'แผนการทำงาน'!D5</x:f>
        <x:v>เสร็จแล้ว</x:v>
      </x:c>
      <x:c r="D7" s="25" t="str"/>
    </x:row>
    <x:row r="8" ht="38" customHeight="1">
      <x:c r="A8" s="31" t="n">
        <x:v>3</x:v>
      </x:c>
      <x:c r="B8" s="25" t="str">
        <x:v>ออกแบบ Use Case, User Flow และ System Architecture</x:v>
      </x:c>
      <x:c r="C8" s="31" t="str">
        <x:f>'แผนการทำงาน'!D5</x:f>
        <x:v>เสร็จแล้ว</x:v>
      </x:c>
      <x:c r="D8" s="25" t="str"/>
    </x:row>
    <x:row r="9" ht="38" customHeight="1">
      <x:c r="A9" s="32" t="n">
        <x:v>4</x:v>
      </x:c>
      <x:c r="B9" s="26" t="str">
        <x:v>ออกแบบแบบสอบถาม Onboarding สำหรับเก็บความชอบ</x:v>
      </x:c>
      <x:c r="C9" s="32" t="str">
        <x:f>'แผนการทำงาน'!D5</x:f>
        <x:v>เสร็จแล้ว</x:v>
      </x:c>
      <x:c r="D9" s="26" t="str"/>
    </x:row>
    <x:row r="11">
      <x:c r="A11" s="37" t="str">
        <x:v>ผลลัพธ์ที่ได้</x:v>
      </x:c>
      <x:c r="B11" s="37"/>
      <x:c r="C11" s="37"/>
      <x:c r="D11" s="37"/>
    </x:row>
    <x:row r="12">
      <x:c r="A12" s="62" t="str">
        <x:v>1.</x:v>
      </x:c>
      <x:c r="B12" s="62" t="str">
        <x:v>เอกสาร Requirement</x:v>
      </x:c>
      <x:c r="C12" s="62"/>
      <x:c r="D12" s="62"/>
    </x:row>
    <x:row r="13">
      <x:c r="A13" s="62" t="str">
        <x:v>2.</x:v>
      </x:c>
      <x:c r="B13" s="62" t="str">
        <x:v>Use Case และ User Flow</x:v>
      </x:c>
      <x:c r="C13" s="62"/>
      <x:c r="D13" s="62"/>
    </x:row>
    <x:row r="14">
      <x:c r="A14" s="62" t="str">
        <x:v>3.</x:v>
      </x:c>
      <x:c r="B14" s="62" t="str">
        <x:v>Architecture Diagram และโครงสร้างแบบสอบถาม</x:v>
      </x:c>
      <x:c r="C14" s="62"/>
      <x:c r="D14" s="62"/>
    </x:row>
    <x:row r="16">
      <x:c r="A16" s="67" t="str">
        <x:v>ร้อยละสะสมเป้าหมาย</x:v>
      </x:c>
      <x:c r="B16" s="68"/>
      <x:c r="C16" s="70" t="n">
        <x:f>'แผนการทำงาน'!C5</x:f>
        <x:v>0.35</x:v>
      </x:c>
      <x:c r="D16" s="71"/>
    </x:row>
  </x:sheetData>
  <x:mergeCells>
    <x:mergeCell ref="A1:D1"/>
    <x:mergeCell ref="B3:D3"/>
    <x:mergeCell ref="B12:D12"/>
    <x:mergeCell ref="B13:D13"/>
    <x:mergeCell ref="B14:D14"/>
    <x:mergeCell ref="A16:B16"/>
    <x:mergeCell ref="C16:D16"/>
  </x:mergeCells>
  <x:conditionalFormatting sqref="C6:C9">
    <x:cfRule type="containsText" dxfId="9" priority="1" operator="containsText" text="เสร็จแล้ว"/>
    <x:cfRule type="containsText" dxfId="10" priority="2" operator="containsText" text="กำลังดำเนินการ"/>
    <x:cfRule type="containsText" dxfId="11" priority="3" operator="containsText" text="ยังไม่เริ่ม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4" hidden="0" customWidth="1"/>
    <x:col min="3" max="3" width="20" hidden="0" customWidth="1"/>
    <x:col min="4" max="4" width="35" hidden="0" customWidth="1"/>
  </x:cols>
  <x:sheetData>
    <x:row r="1" ht="34" customHeight="1">
      <x:c r="A1" s="57" t="str">
        <x:v>ใบความคืบหน้า ใบที่ 3: พัฒนาระบบสมาชิกและ Onboarding</x:v>
      </x:c>
      <x:c r="B1" s="57"/>
      <x:c r="C1" s="57"/>
      <x:c r="D1" s="57"/>
    </x:row>
    <x:row r="3" ht="48" customHeight="1">
      <x:c r="A3" s="60" t="str">
        <x:v>วัตถุประสงค์</x:v>
      </x:c>
      <x:c r="B3" s="60" t="str">
        <x:v>พัฒนากระบวนการสมัครสมาชิก เข้าสู่ระบบ และเก็บข้อมูลความชอบก่อนเริ่มใช้งานแอป</x:v>
      </x:c>
      <x:c r="C3" s="60"/>
      <x:c r="D3" s="60"/>
    </x:row>
    <x:row r="5">
      <x:c r="A5" s="17" t="str">
        <x:v>ลำดับ</x:v>
      </x:c>
      <x:c r="B5" s="17" t="str">
        <x:v>งานที่ดำเนินการ</x:v>
      </x:c>
      <x:c r="C5" s="17" t="str">
        <x:v>สถานะ</x:v>
      </x:c>
      <x:c r="D5" s="17" t="str">
        <x:v>หมายเหตุ/หลักฐาน</x:v>
      </x:c>
    </x:row>
    <x:row r="6" ht="38" customHeight="1">
      <x:c r="A6" s="30" t="n">
        <x:v>1</x:v>
      </x:c>
      <x:c r="B6" s="24" t="str">
        <x:v>พัฒนา Login และ Register</x:v>
      </x:c>
      <x:c r="C6" s="30" t="str">
        <x:f>'แผนการทำงาน'!D6</x:f>
        <x:v>เสร็จแล้ว</x:v>
      </x:c>
      <x:c r="D6" s="24" t="str"/>
    </x:row>
    <x:row r="7" ht="38" customHeight="1">
      <x:c r="A7" s="31" t="n">
        <x:v>2</x:v>
      </x:c>
      <x:c r="B7" s="25" t="str">
        <x:v>เพิ่ม Username อายุ และข้อมูลโปรไฟล์เริ่มต้น</x:v>
      </x:c>
      <x:c r="C7" s="31" t="str">
        <x:f>'แผนการทำงาน'!D6</x:f>
        <x:v>เสร็จแล้ว</x:v>
      </x:c>
      <x:c r="D7" s="25" t="str"/>
    </x:row>
    <x:row r="8" ht="38" customHeight="1">
      <x:c r="A8" s="31" t="n">
        <x:v>3</x:v>
      </x:c>
      <x:c r="B8" s="25" t="str">
        <x:v>พัฒนาคำถาม Budget, Activity, Time และ Style</x:v>
      </x:c>
      <x:c r="C8" s="31" t="str">
        <x:f>'แผนการทำงาน'!D6</x:f>
        <x:v>เสร็จแล้ว</x:v>
      </x:c>
      <x:c r="D8" s="25" t="str"/>
    </x:row>
    <x:row r="9" ht="38" customHeight="1">
      <x:c r="A9" s="32" t="n">
        <x:v>4</x:v>
      </x:c>
      <x:c r="B9" s="26" t="str">
        <x:v>บันทึกคำตอบเป็นข้อมูลสำหรับ Preference Vector</x:v>
      </x:c>
      <x:c r="C9" s="32" t="str">
        <x:f>'แผนการทำงาน'!D6</x:f>
        <x:v>เสร็จแล้ว</x:v>
      </x:c>
      <x:c r="D9" s="26" t="str"/>
    </x:row>
    <x:row r="11">
      <x:c r="A11" s="37" t="str">
        <x:v>ผลลัพธ์ที่ได้</x:v>
      </x:c>
      <x:c r="B11" s="37"/>
      <x:c r="C11" s="37"/>
      <x:c r="D11" s="37"/>
    </x:row>
    <x:row r="12">
      <x:c r="A12" s="62" t="str">
        <x:v>1.</x:v>
      </x:c>
      <x:c r="B12" s="62" t="str">
        <x:v>หน้าสมัครสมาชิกและเข้าสู่ระบบ</x:v>
      </x:c>
      <x:c r="C12" s="62"/>
      <x:c r="D12" s="62"/>
    </x:row>
    <x:row r="13">
      <x:c r="A13" s="62" t="str">
        <x:v>2.</x:v>
      </x:c>
      <x:c r="B13" s="62" t="str">
        <x:v>หน้า Onboarding</x:v>
      </x:c>
      <x:c r="C13" s="62"/>
      <x:c r="D13" s="62"/>
    </x:row>
    <x:row r="14">
      <x:c r="A14" s="62" t="str">
        <x:v>3.</x:v>
      </x:c>
      <x:c r="B14" s="62" t="str">
        <x:v>ข้อมูลผู้ใช้และความชอบในฐานข้อมูล</x:v>
      </x:c>
      <x:c r="C14" s="62"/>
      <x:c r="D14" s="62"/>
    </x:row>
    <x:row r="16">
      <x:c r="A16" s="67" t="str">
        <x:v>ร้อยละสะสมเป้าหมาย</x:v>
      </x:c>
      <x:c r="B16" s="68"/>
      <x:c r="C16" s="70" t="n">
        <x:f>'แผนการทำงาน'!C6</x:f>
        <x:v>0.39</x:v>
      </x:c>
      <x:c r="D16" s="71"/>
    </x:row>
  </x:sheetData>
  <x:mergeCells>
    <x:mergeCell ref="A1:D1"/>
    <x:mergeCell ref="B3:D3"/>
    <x:mergeCell ref="B12:D12"/>
    <x:mergeCell ref="B13:D13"/>
    <x:mergeCell ref="B14:D14"/>
    <x:mergeCell ref="A16:B16"/>
    <x:mergeCell ref="C16:D16"/>
  </x:mergeCells>
  <x:conditionalFormatting sqref="C6:C9">
    <x:cfRule type="containsText" dxfId="12" priority="1" operator="containsText" text="เสร็จแล้ว"/>
    <x:cfRule type="containsText" dxfId="13" priority="2" operator="containsText" text="กำลังดำเนินการ"/>
    <x:cfRule type="containsText" dxfId="14" priority="3" operator="containsText" text="ยังไม่เริ่ม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4" hidden="0" customWidth="1"/>
    <x:col min="3" max="3" width="20" hidden="0" customWidth="1"/>
    <x:col min="4" max="4" width="35" hidden="0" customWidth="1"/>
  </x:cols>
  <x:sheetData>
    <x:row r="1" ht="34" customHeight="1">
      <x:c r="A1" s="57" t="str">
        <x:v>ใบความคืบหน้า ใบที่ 4: พัฒนา Smart Matching และ Cosine Similarity</x:v>
      </x:c>
      <x:c r="B1" s="57"/>
      <x:c r="C1" s="57"/>
      <x:c r="D1" s="57"/>
    </x:row>
    <x:row r="3" ht="48" customHeight="1">
      <x:c r="A3" s="60" t="str">
        <x:v>วัตถุประสงค์</x:v>
      </x:c>
      <x:c r="B3" s="60" t="str">
        <x:v>พัฒนากลไกเปรียบเทียบความชอบของผู้ใช้กับคุณลักษณะของทริปและแสดงผลเป็น Match Score</x:v>
      </x:c>
      <x:c r="C3" s="60"/>
      <x:c r="D3" s="60"/>
    </x:row>
    <x:row r="5">
      <x:c r="A5" s="17" t="str">
        <x:v>ลำดับ</x:v>
      </x:c>
      <x:c r="B5" s="17" t="str">
        <x:v>งานที่ดำเนินการ</x:v>
      </x:c>
      <x:c r="C5" s="17" t="str">
        <x:v>สถานะ</x:v>
      </x:c>
      <x:c r="D5" s="17" t="str">
        <x:v>หมายเหตุ/หลักฐาน</x:v>
      </x:c>
    </x:row>
    <x:row r="6" ht="38" customHeight="1">
      <x:c r="A6" s="30" t="n">
        <x:v>1</x:v>
      </x:c>
      <x:c r="B6" s="24" t="str">
        <x:v>สร้าง User Preference Vector</x:v>
      </x:c>
      <x:c r="C6" s="30" t="str">
        <x:f>'แผนการทำงาน'!D7</x:f>
        <x:v>กำลังดำเนินการ</x:v>
      </x:c>
      <x:c r="D6" s="24" t="str"/>
    </x:row>
    <x:row r="7" ht="38" customHeight="1">
      <x:c r="A7" s="31" t="n">
        <x:v>2</x:v>
      </x:c>
      <x:c r="B7" s="25" t="str">
        <x:v>สร้าง Trip Feature Vector</x:v>
      </x:c>
      <x:c r="C7" s="31" t="str">
        <x:f>'แผนการทำงาน'!D7</x:f>
        <x:v>กำลังดำเนินการ</x:v>
      </x:c>
      <x:c r="D7" s="25" t="str"/>
    </x:row>
    <x:row r="8" ht="38" customHeight="1">
      <x:c r="A8" s="31" t="n">
        <x:v>3</x:v>
      </x:c>
      <x:c r="B8" s="25" t="str">
        <x:v>Normalize และกำหนดน้ำหนักแต่ละมิติ</x:v>
      </x:c>
      <x:c r="C8" s="31" t="str">
        <x:f>'แผนการทำงาน'!D7</x:f>
        <x:v>กำลังดำเนินการ</x:v>
      </x:c>
      <x:c r="D8" s="25" t="str"/>
    </x:row>
    <x:row r="9" ht="38" customHeight="1">
      <x:c r="A9" s="32" t="n">
        <x:v>4</x:v>
      </x:c>
      <x:c r="B9" s="26" t="str">
        <x:v>คำนวณ Cosine Similarity และใช้ Feasibility Rules</x:v>
      </x:c>
      <x:c r="C9" s="32" t="str">
        <x:f>'แผนการทำงาน'!D7</x:f>
        <x:v>กำลังดำเนินการ</x:v>
      </x:c>
      <x:c r="D9" s="26" t="str"/>
    </x:row>
    <x:row r="11">
      <x:c r="A11" s="37" t="str">
        <x:v>ผลลัพธ์ที่ได้</x:v>
      </x:c>
      <x:c r="B11" s="37"/>
      <x:c r="C11" s="37"/>
      <x:c r="D11" s="37"/>
    </x:row>
    <x:row r="12">
      <x:c r="A12" s="62" t="str">
        <x:v>1.</x:v>
      </x:c>
      <x:c r="B12" s="62" t="str">
        <x:v>Matching Module</x:v>
      </x:c>
      <x:c r="C12" s="62"/>
      <x:c r="D12" s="62"/>
    </x:row>
    <x:row r="13">
      <x:c r="A13" s="62" t="str">
        <x:v>2.</x:v>
      </x:c>
      <x:c r="B13" s="62" t="str">
        <x:v>Match Score เป็นเปอร์เซ็นต์</x:v>
      </x:c>
      <x:c r="C13" s="62"/>
      <x:c r="D13" s="62"/>
    </x:row>
    <x:row r="14">
      <x:c r="A14" s="62" t="str">
        <x:v>3.</x:v>
      </x:c>
      <x:c r="B14" s="62" t="str">
        <x:v>ผลทดสอบกรณีใกล้เคียงและไม่ใกล้เคียง</x:v>
      </x:c>
      <x:c r="C14" s="62"/>
      <x:c r="D14" s="62"/>
    </x:row>
    <x:row r="16">
      <x:c r="A16" s="67" t="str">
        <x:v>ร้อยละสะสมเป้าหมาย</x:v>
      </x:c>
      <x:c r="B16" s="68"/>
      <x:c r="C16" s="70" t="n">
        <x:f>'แผนการทำงาน'!C7</x:f>
        <x:v>0.53</x:v>
      </x:c>
      <x:c r="D16" s="71"/>
    </x:row>
  </x:sheetData>
  <x:mergeCells>
    <x:mergeCell ref="A1:D1"/>
    <x:mergeCell ref="B3:D3"/>
    <x:mergeCell ref="B12:D12"/>
    <x:mergeCell ref="B13:D13"/>
    <x:mergeCell ref="B14:D14"/>
    <x:mergeCell ref="A16:B16"/>
    <x:mergeCell ref="C16:D16"/>
  </x:mergeCells>
  <x:conditionalFormatting sqref="C6:C9">
    <x:cfRule type="containsText" dxfId="15" priority="1" operator="containsText" text="เสร็จแล้ว"/>
    <x:cfRule type="containsText" dxfId="16" priority="2" operator="containsText" text="กำลังดำเนินการ"/>
    <x:cfRule type="containsText" dxfId="17" priority="3" operator="containsText" text="ยังไม่เริ่ม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4" hidden="0" customWidth="1"/>
    <x:col min="3" max="3" width="20" hidden="0" customWidth="1"/>
    <x:col min="4" max="4" width="35" hidden="0" customWidth="1"/>
  </x:cols>
  <x:sheetData>
    <x:row r="1" ht="34" customHeight="1">
      <x:c r="A1" s="57" t="str">
        <x:v>ใบความคืบหน้า ใบที่ 5: เชื่อมต่อ Backend และฐานข้อมูล</x:v>
      </x:c>
      <x:c r="B1" s="57"/>
      <x:c r="C1" s="57"/>
      <x:c r="D1" s="57"/>
    </x:row>
    <x:row r="3" ht="48" customHeight="1">
      <x:c r="A3" s="60" t="str">
        <x:v>วัตถุประสงค์</x:v>
      </x:c>
      <x:c r="B3" s="60" t="str">
        <x:v>พัฒนาการรับส่งข้อมูลระหว่างแอป Backend และฐานข้อมูลให้รองรับฟังก์ชันหลักของระบบ</x:v>
      </x:c>
      <x:c r="C3" s="60"/>
      <x:c r="D3" s="60"/>
    </x:row>
    <x:row r="5">
      <x:c r="A5" s="17" t="str">
        <x:v>ลำดับ</x:v>
      </x:c>
      <x:c r="B5" s="17" t="str">
        <x:v>งานที่ดำเนินการ</x:v>
      </x:c>
      <x:c r="C5" s="17" t="str">
        <x:v>สถานะ</x:v>
      </x:c>
      <x:c r="D5" s="17" t="str">
        <x:v>หมายเหตุ/หลักฐาน</x:v>
      </x:c>
    </x:row>
    <x:row r="6" ht="38" customHeight="1">
      <x:c r="A6" s="30" t="n">
        <x:v>1</x:v>
      </x:c>
      <x:c r="B6" s="24" t="str">
        <x:v>พัฒนา REST API ด้วย Node.js และ Express</x:v>
      </x:c>
      <x:c r="C6" s="30" t="str">
        <x:f>'แผนการทำงาน'!D8</x:f>
        <x:v>กำลังดำเนินการ</x:v>
      </x:c>
      <x:c r="D6" s="24" t="str"/>
    </x:row>
    <x:row r="7" ht="38" customHeight="1">
      <x:c r="A7" s="31" t="n">
        <x:v>2</x:v>
      </x:c>
      <x:c r="B7" s="25" t="str">
        <x:v>เชื่อม PostgreSQL บน Supabase ผ่าน Prisma</x:v>
      </x:c>
      <x:c r="C7" s="31" t="str">
        <x:f>'แผนการทำงาน'!D8</x:f>
        <x:v>กำลังดำเนินการ</x:v>
      </x:c>
      <x:c r="D7" s="25" t="str"/>
    </x:row>
    <x:row r="8" ht="38" customHeight="1">
      <x:c r="A8" s="31" t="n">
        <x:v>3</x:v>
      </x:c>
      <x:c r="B8" s="25" t="str">
        <x:v>จัดเก็บ Users, Profiles, Trips, Matches และ Messages</x:v>
      </x:c>
      <x:c r="C8" s="31" t="str">
        <x:f>'แผนการทำงาน'!D8</x:f>
        <x:v>กำลังดำเนินการ</x:v>
      </x:c>
      <x:c r="D8" s="25" t="str"/>
    </x:row>
    <x:row r="9" ht="38" customHeight="1">
      <x:c r="A9" s="32" t="n">
        <x:v>4</x:v>
      </x:c>
      <x:c r="B9" s="26" t="str">
        <x:v>ตรวจสอบ Authentication, Validation และ creatorId</x:v>
      </x:c>
      <x:c r="C9" s="32" t="str">
        <x:f>'แผนการทำงาน'!D8</x:f>
        <x:v>กำลังดำเนินการ</x:v>
      </x:c>
      <x:c r="D9" s="26" t="str"/>
    </x:row>
    <x:row r="11">
      <x:c r="A11" s="37" t="str">
        <x:v>ผลลัพธ์ที่ได้</x:v>
      </x:c>
      <x:c r="B11" s="37"/>
      <x:c r="C11" s="37"/>
      <x:c r="D11" s="37"/>
    </x:row>
    <x:row r="12">
      <x:c r="A12" s="62" t="str">
        <x:v>1.</x:v>
      </x:c>
      <x:c r="B12" s="62" t="str">
        <x:v>Backend API</x:v>
      </x:c>
      <x:c r="C12" s="62"/>
      <x:c r="D12" s="62"/>
    </x:row>
    <x:row r="13">
      <x:c r="A13" s="62" t="str">
        <x:v>2.</x:v>
      </x:c>
      <x:c r="B13" s="62" t="str">
        <x:v>Database Schema และข้อมูลทดสอบ</x:v>
      </x:c>
      <x:c r="C13" s="62"/>
      <x:c r="D13" s="62"/>
    </x:row>
    <x:row r="14">
      <x:c r="A14" s="62" t="str">
        <x:v>3.</x:v>
      </x:c>
      <x:c r="B14" s="62" t="str">
        <x:v>การบันทึกและอ่านข้อมูลจากแอป</x:v>
      </x:c>
      <x:c r="C14" s="62"/>
      <x:c r="D14" s="62"/>
    </x:row>
    <x:row r="16">
      <x:c r="A16" s="67" t="str">
        <x:v>ร้อยละสะสมเป้าหมาย</x:v>
      </x:c>
      <x:c r="B16" s="68"/>
      <x:c r="C16" s="70" t="n">
        <x:f>'แผนการทำงาน'!C8</x:f>
        <x:v>0.6</x:v>
      </x:c>
      <x:c r="D16" s="71"/>
    </x:row>
  </x:sheetData>
  <x:mergeCells>
    <x:mergeCell ref="A1:D1"/>
    <x:mergeCell ref="B3:D3"/>
    <x:mergeCell ref="B12:D12"/>
    <x:mergeCell ref="B13:D13"/>
    <x:mergeCell ref="B14:D14"/>
    <x:mergeCell ref="A16:B16"/>
    <x:mergeCell ref="C16:D16"/>
  </x:mergeCells>
  <x:conditionalFormatting sqref="C6:C9">
    <x:cfRule type="containsText" dxfId="18" priority="1" operator="containsText" text="เสร็จแล้ว"/>
    <x:cfRule type="containsText" dxfId="19" priority="2" operator="containsText" text="กำลังดำเนินการ"/>
    <x:cfRule type="containsText" dxfId="20" priority="3" operator="containsText" text="ยังไม่เริ่ม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4" hidden="0" customWidth="1"/>
    <x:col min="3" max="3" width="20" hidden="0" customWidth="1"/>
    <x:col min="4" max="4" width="35" hidden="0" customWidth="1"/>
  </x:cols>
  <x:sheetData>
    <x:row r="1" ht="34" customHeight="1">
      <x:c r="A1" s="57" t="str">
        <x:v>ใบความคืบหน้า ใบที่ 6: พัฒนาฟังก์ชันแอปและ Backoffice</x:v>
      </x:c>
      <x:c r="B1" s="57"/>
      <x:c r="C1" s="57"/>
      <x:c r="D1" s="57"/>
    </x:row>
    <x:row r="3" ht="48" customHeight="1">
      <x:c r="A3" s="60" t="str">
        <x:v>วัตถุประสงค์</x:v>
      </x:c>
      <x:c r="B3" s="60" t="str">
        <x:v>พัฒนาส่วนติดต่อและฟังก์ชันการใช้งานหลักให้ครอบคลุมผู้ใช้และผู้ดูแลระบบ</x:v>
      </x:c>
      <x:c r="C3" s="60"/>
      <x:c r="D3" s="60"/>
    </x:row>
    <x:row r="5">
      <x:c r="A5" s="17" t="str">
        <x:v>ลำดับ</x:v>
      </x:c>
      <x:c r="B5" s="17" t="str">
        <x:v>งานที่ดำเนินการ</x:v>
      </x:c>
      <x:c r="C5" s="17" t="str">
        <x:v>สถานะ</x:v>
      </x:c>
      <x:c r="D5" s="17" t="str">
        <x:v>หมายเหตุ/หลักฐาน</x:v>
      </x:c>
    </x:row>
    <x:row r="6" ht="38" customHeight="1">
      <x:c r="A6" s="30" t="n">
        <x:v>1</x:v>
      </x:c>
      <x:c r="B6" s="24" t="str">
        <x:v>พัฒนา Feed, Trip Detail และ Create Trip แบบหลายขั้นตอน</x:v>
      </x:c>
      <x:c r="C6" s="30" t="str">
        <x:f>'แผนการทำงาน'!D9</x:f>
        <x:v>เสร็จแล้ว</x:v>
      </x:c>
      <x:c r="D6" s="24" t="str"/>
    </x:row>
    <x:row r="7" ht="38" customHeight="1">
      <x:c r="A7" s="31" t="n">
        <x:v>2</x:v>
      </x:c>
      <x:c r="B7" s="25" t="str">
        <x:v>พัฒนา Profile, My Trips, Chat และ Notification</x:v>
      </x:c>
      <x:c r="C7" s="31" t="str">
        <x:f>'แผนการทำงาน'!D9</x:f>
        <x:v>เสร็จแล้ว</x:v>
      </x:c>
      <x:c r="D7" s="25" t="str"/>
    </x:row>
    <x:row r="8" ht="38" customHeight="1">
      <x:c r="A8" s="31" t="n">
        <x:v>3</x:v>
      </x:c>
      <x:c r="B8" s="25" t="str">
        <x:v>พัฒนาการยืนยันตัวตนด้วยใบหน้า</x:v>
      </x:c>
      <x:c r="C8" s="31" t="str">
        <x:f>'แผนการทำงาน'!D9</x:f>
        <x:v>เสร็จแล้ว</x:v>
      </x:c>
      <x:c r="D8" s="25" t="str"/>
    </x:row>
    <x:row r="9" ht="38" customHeight="1">
      <x:c r="A9" s="32" t="n">
        <x:v>4</x:v>
      </x:c>
      <x:c r="B9" s="26" t="str">
        <x:v>พัฒนา Dashboard และหน้าจัดการข้อมูล Backoffice</x:v>
      </x:c>
      <x:c r="C9" s="32" t="str">
        <x:f>'แผนการทำงาน'!D9</x:f>
        <x:v>เสร็จแล้ว</x:v>
      </x:c>
      <x:c r="D9" s="26" t="str"/>
    </x:row>
    <x:row r="11">
      <x:c r="A11" s="37" t="str">
        <x:v>ผลลัพธ์ที่ได้</x:v>
      </x:c>
      <x:c r="B11" s="37"/>
      <x:c r="C11" s="37"/>
      <x:c r="D11" s="37"/>
    </x:row>
    <x:row r="12">
      <x:c r="A12" s="62" t="str">
        <x:v>1.</x:v>
      </x:c>
      <x:c r="B12" s="62" t="str">
        <x:v>แอป iOS ที่ใช้งานฟังก์ชันหลักได้</x:v>
      </x:c>
      <x:c r="C12" s="62"/>
      <x:c r="D12" s="62"/>
    </x:row>
    <x:row r="13">
      <x:c r="A13" s="62" t="str">
        <x:v>2.</x:v>
      </x:c>
      <x:c r="B13" s="62" t="str">
        <x:v>ระบบ Chat และ Notification</x:v>
      </x:c>
      <x:c r="C13" s="62"/>
      <x:c r="D13" s="62"/>
    </x:row>
    <x:row r="14">
      <x:c r="A14" s="62" t="str">
        <x:v>3.</x:v>
      </x:c>
      <x:c r="B14" s="62" t="str">
        <x:v>เว็บไซต์ Backoffice สำหรับผู้ดูแลระบบ</x:v>
      </x:c>
      <x:c r="C14" s="62"/>
      <x:c r="D14" s="62"/>
    </x:row>
    <x:row r="16">
      <x:c r="A16" s="67" t="str">
        <x:v>ร้อยละสะสมเป้าหมาย</x:v>
      </x:c>
      <x:c r="B16" s="68"/>
      <x:c r="C16" s="70" t="n">
        <x:f>'แผนการทำงาน'!C9</x:f>
        <x:v>0.77</x:v>
      </x:c>
      <x:c r="D16" s="71"/>
    </x:row>
  </x:sheetData>
  <x:mergeCells>
    <x:mergeCell ref="A1:D1"/>
    <x:mergeCell ref="B3:D3"/>
    <x:mergeCell ref="B12:D12"/>
    <x:mergeCell ref="B13:D13"/>
    <x:mergeCell ref="B14:D14"/>
    <x:mergeCell ref="A16:B16"/>
    <x:mergeCell ref="C16:D16"/>
  </x:mergeCells>
  <x:conditionalFormatting sqref="C6:C9">
    <x:cfRule type="containsText" dxfId="21" priority="1" operator="containsText" text="เสร็จแล้ว"/>
    <x:cfRule type="containsText" dxfId="22" priority="2" operator="containsText" text="กำลังดำเนินการ"/>
    <x:cfRule type="containsText" dxfId="23" priority="3" operator="containsText" text="ยังไม่เริ่ม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4" hidden="0" customWidth="1"/>
    <x:col min="3" max="3" width="20" hidden="0" customWidth="1"/>
    <x:col min="4" max="4" width="35" hidden="0" customWidth="1"/>
  </x:cols>
  <x:sheetData>
    <x:row r="1" ht="34" customHeight="1">
      <x:c r="A1" s="57" t="str">
        <x:v>ใบความคืบหน้า ใบที่ 7: เชื่อมต่อ Gemini API และทดสอบระบบ</x:v>
      </x:c>
      <x:c r="B1" s="57"/>
      <x:c r="C1" s="57"/>
      <x:c r="D1" s="57"/>
    </x:row>
    <x:row r="3" ht="48" customHeight="1">
      <x:c r="A3" s="60" t="str">
        <x:v>วัตถุประสงค์</x:v>
      </x:c>
      <x:c r="B3" s="60" t="str">
        <x:v>เพิ่มผู้ช่วยสร้างแผนการเดินทางและทดสอบความถูกต้องของการทำงานร่วมกันทุกส่วน</x:v>
      </x:c>
      <x:c r="C3" s="60"/>
      <x:c r="D3" s="60"/>
    </x:row>
    <x:row r="5">
      <x:c r="A5" s="17" t="str">
        <x:v>ลำดับ</x:v>
      </x:c>
      <x:c r="B5" s="17" t="str">
        <x:v>งานที่ดำเนินการ</x:v>
      </x:c>
      <x:c r="C5" s="17" t="str">
        <x:v>สถานะ</x:v>
      </x:c>
      <x:c r="D5" s="17" t="str">
        <x:v>หมายเหตุ/หลักฐาน</x:v>
      </x:c>
    </x:row>
    <x:row r="6" ht="38" customHeight="1">
      <x:c r="A6" s="30" t="n">
        <x:v>1</x:v>
      </x:c>
      <x:c r="B6" s="24" t="str">
        <x:v>เชื่อมต่อ Gemini API สำหรับ AI Chat</x:v>
      </x:c>
      <x:c r="C6" s="30" t="str">
        <x:f>'แผนการทำงาน'!D10</x:f>
        <x:v>ยังไม่เริ่ม</x:v>
      </x:c>
      <x:c r="D6" s="24" t="str"/>
    </x:row>
    <x:row r="7" ht="38" customHeight="1">
      <x:c r="A7" s="31" t="n">
        <x:v>2</x:v>
      </x:c>
      <x:c r="B7" s="25" t="str">
        <x:v>สร้าง Draft และ Itinerary ให้ครบตามจำนวนวัน</x:v>
      </x:c>
      <x:c r="C7" s="31" t="str">
        <x:f>'แผนการทำงาน'!D10</x:f>
        <x:v>ยังไม่เริ่ม</x:v>
      </x:c>
      <x:c r="D7" s="25" t="str"/>
    </x:row>
    <x:row r="8" ht="38" customHeight="1">
      <x:c r="A8" s="31" t="n">
        <x:v>3</x:v>
      </x:c>
      <x:c r="B8" s="25" t="str">
        <x:v>ทดสอบ Matching, Backend และฐานข้อมูลร่วมกัน</x:v>
      </x:c>
      <x:c r="C8" s="31" t="str">
        <x:f>'แผนการทำงาน'!D10</x:f>
        <x:v>ยังไม่เริ่ม</x:v>
      </x:c>
      <x:c r="D8" s="25" t="str"/>
    </x:row>
    <x:row r="9" ht="38" customHeight="1">
      <x:c r="A9" s="32" t="n">
        <x:v>4</x:v>
      </x:c>
      <x:c r="B9" s="26" t="str">
        <x:v>เก็บหลักฐานผลการทดสอบและข้อผิดพลาด</x:v>
      </x:c>
      <x:c r="C9" s="32" t="str">
        <x:f>'แผนการทำงาน'!D10</x:f>
        <x:v>ยังไม่เริ่ม</x:v>
      </x:c>
      <x:c r="D9" s="26" t="str"/>
    </x:row>
    <x:row r="11">
      <x:c r="A11" s="37" t="str">
        <x:v>ผลลัพธ์ที่ได้</x:v>
      </x:c>
      <x:c r="B11" s="37"/>
      <x:c r="C11" s="37"/>
      <x:c r="D11" s="37"/>
    </x:row>
    <x:row r="12">
      <x:c r="A12" s="62" t="str">
        <x:v>1.</x:v>
      </x:c>
      <x:c r="B12" s="62" t="str">
        <x:v>AI ช่วยสร้างทริปและแผนการเดินทาง</x:v>
      </x:c>
      <x:c r="C12" s="62"/>
      <x:c r="D12" s="62"/>
    </x:row>
    <x:row r="13">
      <x:c r="A13" s="62" t="str">
        <x:v>2.</x:v>
      </x:c>
      <x:c r="B13" s="62" t="str">
        <x:v>ผล Unit, Integration และ System Testing</x:v>
      </x:c>
      <x:c r="C13" s="62"/>
      <x:c r="D13" s="62"/>
    </x:row>
    <x:row r="14">
      <x:c r="A14" s="62" t="str">
        <x:v>3.</x:v>
      </x:c>
      <x:c r="B14" s="62" t="str">
        <x:v>หลักฐานการทดสอบระบบ Matching</x:v>
      </x:c>
      <x:c r="C14" s="62"/>
      <x:c r="D14" s="62"/>
    </x:row>
    <x:row r="16">
      <x:c r="A16" s="67" t="str">
        <x:v>ร้อยละสะสมเป้าหมาย</x:v>
      </x:c>
      <x:c r="B16" s="68"/>
      <x:c r="C16" s="70" t="n">
        <x:f>'แผนการทำงาน'!C10</x:f>
        <x:v>0.92</x:v>
      </x:c>
      <x:c r="D16" s="71"/>
    </x:row>
  </x:sheetData>
  <x:mergeCells>
    <x:mergeCell ref="A1:D1"/>
    <x:mergeCell ref="B3:D3"/>
    <x:mergeCell ref="B12:D12"/>
    <x:mergeCell ref="B13:D13"/>
    <x:mergeCell ref="B14:D14"/>
    <x:mergeCell ref="A16:B16"/>
    <x:mergeCell ref="C16:D16"/>
  </x:mergeCells>
  <x:conditionalFormatting sqref="C6:C9">
    <x:cfRule type="containsText" dxfId="24" priority="1" operator="containsText" text="เสร็จแล้ว"/>
    <x:cfRule type="containsText" dxfId="25" priority="2" operator="containsText" text="กำลังดำเนินการ"/>
    <x:cfRule type="containsText" dxfId="26" priority="3" operator="containsText" text="ยังไม่เริ่ม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4" hidden="0" customWidth="1"/>
    <x:col min="3" max="3" width="20" hidden="0" customWidth="1"/>
    <x:col min="4" max="4" width="35" hidden="0" customWidth="1"/>
  </x:cols>
  <x:sheetData>
    <x:row r="1" ht="34" customHeight="1">
      <x:c r="A1" s="57" t="str">
        <x:v>ใบความคืบหน้า ใบที่ 8: ประเมินผล ปรับปรุง และจัดทำรายงาน</x:v>
      </x:c>
      <x:c r="B1" s="57"/>
      <x:c r="C1" s="57"/>
      <x:c r="D1" s="57"/>
    </x:row>
    <x:row r="3" ht="48" customHeight="1">
      <x:c r="A3" s="60" t="str">
        <x:v>วัตถุประสงค์</x:v>
      </x:c>
      <x:c r="B3" s="60" t="str">
        <x:v>ประเมินคุณภาพระบบ ปรับปรุงข้อผิดพลาด และจัดทำเอกสารโครงการฉบับสมบูรณ์</x:v>
      </x:c>
      <x:c r="C3" s="60"/>
      <x:c r="D3" s="60"/>
    </x:row>
    <x:row r="5">
      <x:c r="A5" s="17" t="str">
        <x:v>ลำดับ</x:v>
      </x:c>
      <x:c r="B5" s="17" t="str">
        <x:v>งานที่ดำเนินการ</x:v>
      </x:c>
      <x:c r="C5" s="17" t="str">
        <x:v>สถานะ</x:v>
      </x:c>
      <x:c r="D5" s="17" t="str">
        <x:v>หมายเหตุ/หลักฐาน</x:v>
      </x:c>
    </x:row>
    <x:row r="6" ht="38" customHeight="1">
      <x:c r="A6" s="30" t="n">
        <x:v>1</x:v>
      </x:c>
      <x:c r="B6" s="24" t="str">
        <x:v>ทดสอบการยอมรับของผู้ใช้งาน (UAT)</x:v>
      </x:c>
      <x:c r="C6" s="30" t="str">
        <x:f>'แผนการทำงาน'!D11</x:f>
        <x:v>กำลังดำเนินการ</x:v>
      </x:c>
      <x:c r="D6" s="24" t="str"/>
    </x:row>
    <x:row r="7" ht="38" customHeight="1">
      <x:c r="A7" s="31" t="n">
        <x:v>2</x:v>
      </x:c>
      <x:c r="B7" s="25" t="str">
        <x:v>ประเมินความพึงพอใจหรือ SUS</x:v>
      </x:c>
      <x:c r="C7" s="31" t="str">
        <x:f>'แผนการทำงาน'!D11</x:f>
        <x:v>กำลังดำเนินการ</x:v>
      </x:c>
      <x:c r="D7" s="25" t="str"/>
    </x:row>
    <x:row r="8" ht="38" customHeight="1">
      <x:c r="A8" s="31" t="n">
        <x:v>3</x:v>
      </x:c>
      <x:c r="B8" s="25" t="str">
        <x:v>ปรับปรุง UX/UI และประสิทธิภาพระบบ</x:v>
      </x:c>
      <x:c r="C8" s="31" t="str">
        <x:f>'แผนการทำงาน'!D11</x:f>
        <x:v>กำลังดำเนินการ</x:v>
      </x:c>
      <x:c r="D8" s="25" t="str"/>
    </x:row>
    <x:row r="9" ht="38" customHeight="1">
      <x:c r="A9" s="32" t="n">
        <x:v>4</x:v>
      </x:c>
      <x:c r="B9" s="26" t="str">
        <x:v>จัดทำบทที่ 4 สรุปผล และเอกสารฉบับสมบูรณ์</x:v>
      </x:c>
      <x:c r="C9" s="32" t="str">
        <x:f>'แผนการทำงาน'!D11</x:f>
        <x:v>กำลังดำเนินการ</x:v>
      </x:c>
      <x:c r="D9" s="26" t="str"/>
    </x:row>
    <x:row r="11">
      <x:c r="A11" s="37" t="str">
        <x:v>ผลลัพธ์ที่ได้</x:v>
      </x:c>
      <x:c r="B11" s="37"/>
      <x:c r="C11" s="37"/>
      <x:c r="D11" s="37"/>
    </x:row>
    <x:row r="12">
      <x:c r="A12" s="62" t="str">
        <x:v>1.</x:v>
      </x:c>
      <x:c r="B12" s="62" t="str">
        <x:v>ผลการประเมินผู้ใช้งาน</x:v>
      </x:c>
      <x:c r="C12" s="62"/>
      <x:c r="D12" s="62"/>
    </x:row>
    <x:row r="13">
      <x:c r="A13" s="62" t="str">
        <x:v>2.</x:v>
      </x:c>
      <x:c r="B13" s="62" t="str">
        <x:v>ระบบฉบับปรับปรุง</x:v>
      </x:c>
      <x:c r="C13" s="62"/>
      <x:c r="D13" s="62"/>
    </x:row>
    <x:row r="14">
      <x:c r="A14" s="62" t="str">
        <x:v>3.</x:v>
      </x:c>
      <x:c r="B14" s="62" t="str">
        <x:v>รายงานโครงการฉบับสมบูรณ์</x:v>
      </x:c>
      <x:c r="C14" s="62"/>
      <x:c r="D14" s="62"/>
    </x:row>
    <x:row r="16">
      <x:c r="A16" s="67" t="str">
        <x:v>ร้อยละสะสมเป้าหมาย</x:v>
      </x:c>
      <x:c r="B16" s="68"/>
      <x:c r="C16" s="70" t="n">
        <x:f>'แผนการทำงาน'!C11</x:f>
        <x:v>1</x:v>
      </x:c>
      <x:c r="D16" s="71"/>
    </x:row>
  </x:sheetData>
  <x:mergeCells>
    <x:mergeCell ref="A1:D1"/>
    <x:mergeCell ref="B3:D3"/>
    <x:mergeCell ref="B12:D12"/>
    <x:mergeCell ref="B13:D13"/>
    <x:mergeCell ref="B14:D14"/>
    <x:mergeCell ref="A16:B16"/>
    <x:mergeCell ref="C16:D16"/>
  </x:mergeCells>
  <x:conditionalFormatting sqref="C6:C9">
    <x:cfRule type="containsText" dxfId="27" priority="1" operator="containsText" text="เสร็จแล้ว"/>
    <x:cfRule type="containsText" dxfId="28" priority="2" operator="containsText" text="กำลังดำเนินการ"/>
    <x:cfRule type="containsText" dxfId="29" priority="3" operator="containsText" text="ยังไม่เริ่ม"/>
  </x:conditionalFormatting>
  <x:pageMargins left="0.7" right="0.7" top="0.75" bottom="0.75" header="0.3" footer="0.3"/>
</x:worksheet>
</file>